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\GitHub\myio\clientes\souza aguiar\"/>
    </mc:Choice>
  </mc:AlternateContent>
  <xr:revisionPtr revIDLastSave="0" documentId="8_{90BEAFF7-AD45-426A-8CDE-701E061CF4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K20" i="1"/>
  <c r="M19" i="1"/>
  <c r="L19" i="1"/>
  <c r="K19" i="1"/>
  <c r="K18" i="1"/>
  <c r="M18" i="1"/>
  <c r="L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<sst xmlns="http://schemas.openxmlformats.org/spreadsheetml/2006/main" count="126" uniqueCount="120">
  <si>
    <t>APP FIX NAME</t>
  </si>
  <si>
    <t>OS</t>
  </si>
  <si>
    <t>Thingsboard</t>
  </si>
  <si>
    <t xml:space="preserve">App Antigo </t>
  </si>
  <si>
    <t>New Name to OLD DEVICE After FIX</t>
  </si>
  <si>
    <t>SlaveId Antigo</t>
  </si>
  <si>
    <t>Offset Antigo</t>
  </si>
  <si>
    <t>Antes FIX</t>
  </si>
  <si>
    <t>Após FIX</t>
  </si>
  <si>
    <t>SlaveId Novo</t>
  </si>
  <si>
    <t>update temperature_history</t>
  </si>
  <si>
    <t>update old name</t>
  </si>
  <si>
    <t>update new name</t>
  </si>
  <si>
    <t>Centro Cirúrgico 01</t>
  </si>
  <si>
    <t>Cirurgia 01</t>
  </si>
  <si>
    <t>Temp. Co2_Cirurgia1 -3</t>
  </si>
  <si>
    <t>OLD-T.e.m.p. Co2_Cirurgia1 -3</t>
  </si>
  <si>
    <t>GAS Co2_Cirurgia1 132 5000 x9.4</t>
  </si>
  <si>
    <t>UPDATE slaves SET name = 'OLD-T.e.m.p. Co2_Cirurgia1 -3' WHERE id = 75;</t>
  </si>
  <si>
    <t>UPDATE slaves SET name = 'Temp. Co2_Cirurgia1' WHERE id = 76;</t>
  </si>
  <si>
    <t>Centro Cirúrgico 02</t>
  </si>
  <si>
    <t>Cirurgia 02</t>
  </si>
  <si>
    <t>Temp. CO2_CC02 -5</t>
  </si>
  <si>
    <t>OLD-T.e.m.p. CO2_CC02 -5</t>
  </si>
  <si>
    <t>GAS CO2_CC02 132 5000 x9.47</t>
  </si>
  <si>
    <t>UPDATE slaves SET name = 'OLD-T.e.m.p. CO2_CC02 -5' WHERE id = 111;</t>
  </si>
  <si>
    <t>UPDATE slaves SET name = 'Temp. CO2_CC02' WHERE id = 110;</t>
  </si>
  <si>
    <t>Centro cirúrgico 03</t>
  </si>
  <si>
    <t>Cirurgia 03</t>
  </si>
  <si>
    <t>Temp. Co2_CC_03 -8</t>
  </si>
  <si>
    <t>OLD-T.e.m.p. Co2_CC_03 -8</t>
  </si>
  <si>
    <t>GAS Co2_CC_03 132 5000 x9.47</t>
  </si>
  <si>
    <t>UPDATE slaves SET name = 'OLD-T.e.m.p. Co2_CC_03 -8' WHERE id = 53;</t>
  </si>
  <si>
    <t>UPDATE slaves SET name = 'Temp. Co2_CC_03' WHERE id = 52;</t>
  </si>
  <si>
    <t>Centro cirúrgico 05</t>
  </si>
  <si>
    <t>Cirurgia 05</t>
  </si>
  <si>
    <t>Temp. Co2_CC05 -6</t>
  </si>
  <si>
    <t>OLD-T.e.m.p. Co2_CC05 -6</t>
  </si>
  <si>
    <t>Gas Co2_CC05 132 500 x9.47</t>
  </si>
  <si>
    <t>UPDATE slaves SET name = 'OLD-T.e.m.p. Co2_CC05 -6' WHERE id = 115;</t>
  </si>
  <si>
    <t>UPDATE slaves SET name = 'Temp. Co2_CC05' WHERE id = 114;</t>
  </si>
  <si>
    <t>Centro cirúrgico 06</t>
  </si>
  <si>
    <t>Cirurgia 06</t>
  </si>
  <si>
    <t>Temp. Co2_Cirurgia06 -4</t>
  </si>
  <si>
    <t>OLD-T.e.m.p. Co2_Cirurgia06 -4</t>
  </si>
  <si>
    <t>GAS Co2_Cirurgia06 132 5000 x9.47</t>
  </si>
  <si>
    <t>UPDATE slaves SET name = 'OLD-T.e.m.p. Co2_Cirurgia06 -4' WHERE id = 106;</t>
  </si>
  <si>
    <t>UPDATE slaves SET name = 'Temp. Co2_Cirurgia06' WHERE id = 107;</t>
  </si>
  <si>
    <t>Centro cirúrgico 07</t>
  </si>
  <si>
    <t>Cirurgia 07</t>
  </si>
  <si>
    <t>Temp. Co2_Cirurgia7 -2</t>
  </si>
  <si>
    <t>OLD-T.e.m.p. Co2_Cirurgia7 -2</t>
  </si>
  <si>
    <t>GAS Co2_Cirurgia7 132 5000 x9.47</t>
  </si>
  <si>
    <t>UPDATE slaves SET name = 'OLD-T.e.m.p. Co2_Cirurgia7 -2' WHERE id = 63;</t>
  </si>
  <si>
    <t>UPDATE slaves SET name = 'Temp. Co2_Cirurgia7' WHERE id = 64;</t>
  </si>
  <si>
    <t>Cirurgia 07 - Inst. 04/02/26</t>
  </si>
  <si>
    <t>Temp. Co2_Cirurgia7_Apos_04_Fev_2026 -4</t>
  </si>
  <si>
    <t>OLD-T.e.m.p. Co2_Cirurgia7_Apos_04_Fev_2026 -4</t>
  </si>
  <si>
    <t>UPDATE slaves SET name = 'OLD-T.e.m.p. Co2_Cirurgia7_Apos_04_Fev_2026 -4' WHERE id = 158;</t>
  </si>
  <si>
    <t>Centro cirúrgico 08</t>
  </si>
  <si>
    <t>Cirurgia 08</t>
  </si>
  <si>
    <t>Temp. Co2_Cirurgia8 -3</t>
  </si>
  <si>
    <t>OLD-T.e.m.p. Co2_Cirurgia8 -3</t>
  </si>
  <si>
    <t>Temp. Co2_Cirurgia8</t>
  </si>
  <si>
    <t>UPDATE slaves SET name = 'OLD-T.e.m.p. Co2_Cirurgia8 -3' WHERE id = 143;</t>
  </si>
  <si>
    <t>UPDATE slaves SET name = 'Temp. Co2_Cirurgia8' WHERE id = 50;</t>
  </si>
  <si>
    <t>Centro cirúrgico 09</t>
  </si>
  <si>
    <t>Cirurgia 09</t>
  </si>
  <si>
    <t>Temp. Co2_Cirurgia9 -3</t>
  </si>
  <si>
    <t>OLD-T.e.m.p. Co2_Cirurgia9 -3</t>
  </si>
  <si>
    <t>GAS Co2_Cirurgia9 132 5000 x9.47</t>
  </si>
  <si>
    <t>UPDATE slaves SET name = 'OLD-T.e.m.p. Co2_Cirurgia9 -3' WHERE id = 155;</t>
  </si>
  <si>
    <t>UPDATE slaves SET name = 'Temp. Co2_Cirurgia9' WHERE id = 54;</t>
  </si>
  <si>
    <t>RPA</t>
  </si>
  <si>
    <t>Temp. CO2_RPA -8</t>
  </si>
  <si>
    <t>OLD-T.e.m.p. CO2_RPA -8</t>
  </si>
  <si>
    <t>GAS CO2_RPA 132 500 x9.47</t>
  </si>
  <si>
    <t>UPDATE slaves SET name = 'OLD-T.e.m.p. CO2_RPA -8' WHERE id = 109;</t>
  </si>
  <si>
    <t>UPDATE slaves SET name = 'Temp. CO2_RPA' WHERE id = 108;</t>
  </si>
  <si>
    <t>Centro cirúrgico 10</t>
  </si>
  <si>
    <t>Cirurgia 10</t>
  </si>
  <si>
    <t>Temp. CO2_CC10 -5</t>
  </si>
  <si>
    <t>OLD-T.e.m.p. CO2_CC10 -5</t>
  </si>
  <si>
    <t>GAS CO2_CC10 132 5000 x9.47</t>
  </si>
  <si>
    <t>UPDATE slaves SET name = 'OLD-T.e.m.p. CO2_CC10 -5' WHERE id = 113;</t>
  </si>
  <si>
    <t>UPDATE slaves SET name = 'Temp. CO2_CC10' WHERE id = 112;</t>
  </si>
  <si>
    <t>Laboratório</t>
  </si>
  <si>
    <t>Laboratorio</t>
  </si>
  <si>
    <t>Temp. Co2_Laboratorio -6</t>
  </si>
  <si>
    <t>OLD-T.e.m.p. Co2_Laboratorio -6</t>
  </si>
  <si>
    <t>GAS Co2_Laboratorio 132 5000 x9.47</t>
  </si>
  <si>
    <t>UPDATE slaves SET name = 'OLD-T.e.m.p. Co2_Laboratorio -6' WHERE id = 80;</t>
  </si>
  <si>
    <t>CTI 03</t>
  </si>
  <si>
    <t>Temp. Co2_CTI_03 -9</t>
  </si>
  <si>
    <t>OLD-T.e.m.p. Co2_CTI_03 -9</t>
  </si>
  <si>
    <t>GAS Co2_CTI_03 132 5000 x9.47</t>
  </si>
  <si>
    <t>UPDATE slaves SET name = 'OLD-T.e.m.p. Co2_CTI_03 -9' WHERE id = 128;</t>
  </si>
  <si>
    <t>UPDATE slaves SET name = 'Temp. Co2_CTI_03' WHERE id = 127;</t>
  </si>
  <si>
    <t>CER (sala medicação)</t>
  </si>
  <si>
    <t>Medicação CER</t>
  </si>
  <si>
    <t>Temp. Co2_Medicacao_CER -6</t>
  </si>
  <si>
    <t>OLD-T.e.m.p. Co2_Medicacao_CER -6</t>
  </si>
  <si>
    <t>Temp. Co2_Medicacao_CER</t>
  </si>
  <si>
    <t>UPDATE slaves SET name = Temp. Co2_Medicacao_CER' WHERE id = 11;</t>
  </si>
  <si>
    <t>UPDATE slaves SET name = 'OLD-T.e.m.p. Co2_Medicacao_CER -6' WHERE id = 10;</t>
  </si>
  <si>
    <t>Temp. Co2_Centro_Obstetrico_02 -3</t>
  </si>
  <si>
    <t>Temp. Co2_Centro_Obstetrico_03 -4</t>
  </si>
  <si>
    <t>GAS Co2_Centro_Obstetrico_03 132 5000 x9.4</t>
  </si>
  <si>
    <t>Centro Obstétrico 03</t>
  </si>
  <si>
    <t>OLD-T.e.m.p. Co2_Centro_Obstetrico_03 -4</t>
  </si>
  <si>
    <t>Temp. Co2_Centro_Obstetrico_03</t>
  </si>
  <si>
    <t>Centro Obstétrico 02</t>
  </si>
  <si>
    <t>OLD-T.e.m.p. Co2_Centro_Obstetrico_02 -3</t>
  </si>
  <si>
    <t>GAS Co2_Centro_Obstetrico_02 132 5000 x9.47</t>
  </si>
  <si>
    <t>Temp. Co2_Centro_Obstetrico_02</t>
  </si>
  <si>
    <t>Temp. Co2_Centro_Obstetrico_01 -4</t>
  </si>
  <si>
    <t>Centro Obstétrico 01</t>
  </si>
  <si>
    <t>OLD-T.e.m.p. Co2_Centro_Obstetrico_01 -4</t>
  </si>
  <si>
    <t>GAS Co2_Centro_Obstetrico_01 132 5000 x9.47</t>
  </si>
  <si>
    <t>Temp. Co2_Centro_Obstetrico_01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</si>
</sst>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1D1C1D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0"/>
  <sheetViews>
    <sheetView tabSelected="1" workbookViewId="0">
      <selection activeCell="E24" sqref="E24"/>
    </sheetView>
  </sheetViews>
  <sheetFormatPr defaultRowHeight="15" x14ac:dyDescent="0.25"/>
  <cols>
    <col min="1" max="1" width="2" customWidth="1"/>
    <col min="2" max="2" width="20.5703125" bestFit="1" customWidth="1"/>
    <col min="3" max="3" width="24.140625" bestFit="1" customWidth="1"/>
    <col min="4" max="4" width="38.85546875" bestFit="1" customWidth="1"/>
    <col min="5" max="5" width="45" bestFit="1" customWidth="1"/>
    <col min="6" max="6" width="17.28515625" bestFit="1" customWidth="1"/>
    <col min="7" max="7" width="16.28515625" bestFit="1" customWidth="1"/>
    <col min="8" max="8" width="40.28515625" bestFit="1" customWidth="1"/>
    <col min="9" max="9" width="30.28515625" bestFit="1" customWidth="1"/>
    <col min="10" max="10" width="15.7109375" bestFit="1" customWidth="1"/>
    <col min="11" max="11" width="121.5703125" bestFit="1" customWidth="1"/>
    <col min="12" max="12" width="85" bestFit="1" customWidth="1"/>
    <col min="13" max="13" width="69.140625" bestFit="1" customWidth="1"/>
  </cols>
  <sheetData>
    <row r="2" spans="2:13" ht="31.5" customHeight="1" x14ac:dyDescent="0.5">
      <c r="H2" s="4" t="s">
        <v>0</v>
      </c>
      <c r="I2" s="5"/>
    </row>
    <row r="3" spans="2:13" ht="18.75" customHeight="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2:13" s="2" customFormat="1" x14ac:dyDescent="0.25">
      <c r="B4" s="2" t="s">
        <v>13</v>
      </c>
      <c r="C4" s="2" t="s">
        <v>14</v>
      </c>
      <c r="D4" s="2" t="s">
        <v>15</v>
      </c>
      <c r="E4" s="2" t="s">
        <v>16</v>
      </c>
      <c r="F4" s="2">
        <v>75</v>
      </c>
      <c r="G4" s="2">
        <v>-3</v>
      </c>
      <c r="H4" s="2" t="s">
        <v>17</v>
      </c>
      <c r="J4" s="2">
        <v>76</v>
      </c>
      <c r="K4" s="3" t="str">
        <f t="shared" ref="K4:K16" si="0">_xlfn.CONCAT("UPDATE temperature_history SET slave_id = ",J4,", value = value + (",G4,") WHERE slave_id = ",F4,";")</f>
        <v>UPDATE temperature_history SET slave_id = 76, value = value + (-3) WHERE slave_id = 75;</v>
      </c>
      <c r="L4" s="2" t="s">
        <v>18</v>
      </c>
      <c r="M4" s="2" t="s">
        <v>19</v>
      </c>
    </row>
    <row r="5" spans="2:13" s="2" customFormat="1" x14ac:dyDescent="0.25">
      <c r="B5" s="2" t="s">
        <v>20</v>
      </c>
      <c r="C5" s="2" t="s">
        <v>21</v>
      </c>
      <c r="D5" s="2" t="s">
        <v>22</v>
      </c>
      <c r="E5" s="2" t="s">
        <v>23</v>
      </c>
      <c r="F5" s="2">
        <v>111</v>
      </c>
      <c r="G5" s="2">
        <v>-5</v>
      </c>
      <c r="H5" s="2" t="s">
        <v>24</v>
      </c>
      <c r="J5" s="2">
        <v>110</v>
      </c>
      <c r="K5" s="3" t="str">
        <f t="shared" si="0"/>
        <v>UPDATE temperature_history SET slave_id = 110, value = value + (-5) WHERE slave_id = 111;</v>
      </c>
      <c r="L5" s="2" t="s">
        <v>25</v>
      </c>
      <c r="M5" s="2" t="s">
        <v>26</v>
      </c>
    </row>
    <row r="6" spans="2:13" s="2" customFormat="1" x14ac:dyDescent="0.25">
      <c r="B6" s="2" t="s">
        <v>27</v>
      </c>
      <c r="C6" s="2" t="s">
        <v>28</v>
      </c>
      <c r="D6" s="2" t="s">
        <v>29</v>
      </c>
      <c r="E6" s="2" t="s">
        <v>30</v>
      </c>
      <c r="F6" s="2">
        <v>53</v>
      </c>
      <c r="G6" s="2">
        <v>-8</v>
      </c>
      <c r="H6" s="2" t="s">
        <v>31</v>
      </c>
      <c r="J6" s="2">
        <v>52</v>
      </c>
      <c r="K6" s="3" t="str">
        <f t="shared" si="0"/>
        <v>UPDATE temperature_history SET slave_id = 52, value = value + (-8) WHERE slave_id = 53;</v>
      </c>
      <c r="L6" s="2" t="s">
        <v>32</v>
      </c>
      <c r="M6" s="2" t="s">
        <v>33</v>
      </c>
    </row>
    <row r="7" spans="2:13" s="2" customFormat="1" x14ac:dyDescent="0.25">
      <c r="B7" s="2" t="s">
        <v>34</v>
      </c>
      <c r="C7" s="2" t="s">
        <v>35</v>
      </c>
      <c r="D7" s="2" t="s">
        <v>36</v>
      </c>
      <c r="E7" s="2" t="s">
        <v>37</v>
      </c>
      <c r="F7" s="2">
        <v>115</v>
      </c>
      <c r="G7" s="2">
        <v>-6</v>
      </c>
      <c r="H7" s="2" t="s">
        <v>38</v>
      </c>
      <c r="J7" s="2">
        <v>114</v>
      </c>
      <c r="K7" s="3" t="str">
        <f t="shared" si="0"/>
        <v>UPDATE temperature_history SET slave_id = 114, value = value + (-6) WHERE slave_id = 115;</v>
      </c>
      <c r="L7" s="2" t="s">
        <v>39</v>
      </c>
      <c r="M7" s="2" t="s">
        <v>40</v>
      </c>
    </row>
    <row r="8" spans="2:13" s="2" customFormat="1" x14ac:dyDescent="0.25">
      <c r="B8" s="2" t="s">
        <v>41</v>
      </c>
      <c r="C8" s="2" t="s">
        <v>42</v>
      </c>
      <c r="D8" s="2" t="s">
        <v>43</v>
      </c>
      <c r="E8" s="2" t="s">
        <v>44</v>
      </c>
      <c r="F8" s="2">
        <v>106</v>
      </c>
      <c r="G8" s="2">
        <v>-4</v>
      </c>
      <c r="H8" s="2" t="s">
        <v>45</v>
      </c>
      <c r="J8" s="2">
        <v>107</v>
      </c>
      <c r="K8" s="3" t="str">
        <f t="shared" si="0"/>
        <v>UPDATE temperature_history SET slave_id = 107, value = value + (-4) WHERE slave_id = 106;</v>
      </c>
      <c r="L8" s="2" t="s">
        <v>46</v>
      </c>
      <c r="M8" s="2" t="s">
        <v>47</v>
      </c>
    </row>
    <row r="9" spans="2:13" s="2" customFormat="1" x14ac:dyDescent="0.25">
      <c r="B9" s="2" t="s">
        <v>48</v>
      </c>
      <c r="C9" s="2" t="s">
        <v>49</v>
      </c>
      <c r="D9" s="2" t="s">
        <v>50</v>
      </c>
      <c r="E9" s="2" t="s">
        <v>51</v>
      </c>
      <c r="F9" s="2">
        <v>63</v>
      </c>
      <c r="G9" s="2">
        <v>-2</v>
      </c>
      <c r="H9" s="2" t="s">
        <v>52</v>
      </c>
      <c r="J9" s="2">
        <v>64</v>
      </c>
      <c r="K9" s="3" t="str">
        <f t="shared" si="0"/>
        <v>UPDATE temperature_history SET slave_id = 64, value = value + (-2) WHERE slave_id = 63;</v>
      </c>
      <c r="L9" s="2" t="s">
        <v>53</v>
      </c>
      <c r="M9" s="2" t="s">
        <v>54</v>
      </c>
    </row>
    <row r="10" spans="2:13" s="2" customFormat="1" x14ac:dyDescent="0.25">
      <c r="B10" s="2" t="s">
        <v>48</v>
      </c>
      <c r="C10" s="2" t="s">
        <v>55</v>
      </c>
      <c r="D10" s="2" t="s">
        <v>56</v>
      </c>
      <c r="E10" s="2" t="s">
        <v>57</v>
      </c>
      <c r="F10" s="2">
        <v>158</v>
      </c>
      <c r="G10" s="2">
        <v>-4</v>
      </c>
      <c r="H10" s="2" t="s">
        <v>52</v>
      </c>
      <c r="J10" s="2">
        <v>64</v>
      </c>
      <c r="K10" s="3" t="str">
        <f t="shared" si="0"/>
        <v>UPDATE temperature_history SET slave_id = 64, value = value + (-4) WHERE slave_id = 158;</v>
      </c>
      <c r="L10" s="2" t="s">
        <v>58</v>
      </c>
      <c r="M10" s="2" t="s">
        <v>54</v>
      </c>
    </row>
    <row r="11" spans="2:13" s="2" customFormat="1" x14ac:dyDescent="0.25">
      <c r="B11" s="2" t="s">
        <v>59</v>
      </c>
      <c r="C11" s="2" t="s">
        <v>60</v>
      </c>
      <c r="D11" s="2" t="s">
        <v>61</v>
      </c>
      <c r="E11" s="2" t="s">
        <v>62</v>
      </c>
      <c r="F11" s="2">
        <v>143</v>
      </c>
      <c r="G11" s="2">
        <v>-3</v>
      </c>
      <c r="H11" s="2" t="s">
        <v>63</v>
      </c>
      <c r="J11" s="2">
        <v>50</v>
      </c>
      <c r="K11" s="3" t="str">
        <f t="shared" si="0"/>
        <v>UPDATE temperature_history SET slave_id = 50, value = value + (-3) WHERE slave_id = 143;</v>
      </c>
      <c r="L11" s="2" t="s">
        <v>64</v>
      </c>
      <c r="M11" s="2" t="s">
        <v>65</v>
      </c>
    </row>
    <row r="12" spans="2:13" s="2" customFormat="1" x14ac:dyDescent="0.25">
      <c r="B12" s="2" t="s">
        <v>66</v>
      </c>
      <c r="C12" s="2" t="s">
        <v>67</v>
      </c>
      <c r="D12" s="2" t="s">
        <v>68</v>
      </c>
      <c r="E12" s="2" t="s">
        <v>69</v>
      </c>
      <c r="F12" s="2">
        <v>155</v>
      </c>
      <c r="G12" s="2">
        <v>-3</v>
      </c>
      <c r="H12" s="2" t="s">
        <v>70</v>
      </c>
      <c r="J12" s="2">
        <v>54</v>
      </c>
      <c r="K12" s="3" t="str">
        <f t="shared" si="0"/>
        <v>UPDATE temperature_history SET slave_id = 54, value = value + (-3) WHERE slave_id = 155;</v>
      </c>
      <c r="L12" s="2" t="s">
        <v>71</v>
      </c>
      <c r="M12" s="2" t="s">
        <v>72</v>
      </c>
    </row>
    <row r="13" spans="2:13" s="2" customFormat="1" x14ac:dyDescent="0.25">
      <c r="B13" s="2" t="s">
        <v>73</v>
      </c>
      <c r="C13" s="2" t="s">
        <v>73</v>
      </c>
      <c r="D13" s="2" t="s">
        <v>74</v>
      </c>
      <c r="E13" s="2" t="s">
        <v>75</v>
      </c>
      <c r="F13" s="2">
        <v>109</v>
      </c>
      <c r="G13" s="2">
        <v>-8</v>
      </c>
      <c r="H13" s="2" t="s">
        <v>76</v>
      </c>
      <c r="J13" s="2">
        <v>108</v>
      </c>
      <c r="K13" s="3" t="str">
        <f t="shared" si="0"/>
        <v>UPDATE temperature_history SET slave_id = 108, value = value + (-8) WHERE slave_id = 109;</v>
      </c>
      <c r="L13" s="2" t="s">
        <v>77</v>
      </c>
      <c r="M13" s="2" t="s">
        <v>78</v>
      </c>
    </row>
    <row r="14" spans="2:13" s="2" customFormat="1" x14ac:dyDescent="0.25">
      <c r="B14" s="2" t="s">
        <v>79</v>
      </c>
      <c r="C14" s="2" t="s">
        <v>80</v>
      </c>
      <c r="D14" s="2" t="s">
        <v>81</v>
      </c>
      <c r="E14" s="2" t="s">
        <v>82</v>
      </c>
      <c r="F14" s="2">
        <v>113</v>
      </c>
      <c r="G14" s="2">
        <v>-5</v>
      </c>
      <c r="H14" s="2" t="s">
        <v>83</v>
      </c>
      <c r="J14" s="2">
        <v>112</v>
      </c>
      <c r="K14" s="3" t="str">
        <f t="shared" si="0"/>
        <v>UPDATE temperature_history SET slave_id = 112, value = value + (-5) WHERE slave_id = 113;</v>
      </c>
      <c r="L14" s="2" t="s">
        <v>84</v>
      </c>
      <c r="M14" s="2" t="s">
        <v>85</v>
      </c>
    </row>
    <row r="15" spans="2:13" s="2" customFormat="1" x14ac:dyDescent="0.25">
      <c r="B15" s="2" t="s">
        <v>86</v>
      </c>
      <c r="C15" s="2" t="s">
        <v>87</v>
      </c>
      <c r="D15" s="2" t="s">
        <v>88</v>
      </c>
      <c r="E15" s="2" t="s">
        <v>89</v>
      </c>
      <c r="F15" s="2">
        <v>80</v>
      </c>
      <c r="G15" s="2">
        <v>-6</v>
      </c>
      <c r="H15" s="2" t="s">
        <v>90</v>
      </c>
      <c r="J15" s="2">
        <v>79</v>
      </c>
      <c r="K15" s="3" t="str">
        <f t="shared" si="0"/>
        <v>UPDATE temperature_history SET slave_id = 79, value = value + (-6) WHERE slave_id = 80;</v>
      </c>
      <c r="L15" s="2" t="s">
        <v>91</v>
      </c>
    </row>
    <row r="16" spans="2:13" s="2" customFormat="1" x14ac:dyDescent="0.25">
      <c r="B16" s="2" t="s">
        <v>92</v>
      </c>
      <c r="C16" s="2" t="s">
        <v>92</v>
      </c>
      <c r="D16" s="2" t="s">
        <v>93</v>
      </c>
      <c r="E16" s="2" t="s">
        <v>94</v>
      </c>
      <c r="F16" s="2">
        <v>128</v>
      </c>
      <c r="G16" s="2">
        <v>-9</v>
      </c>
      <c r="H16" s="2" t="s">
        <v>95</v>
      </c>
      <c r="J16" s="2">
        <v>127</v>
      </c>
      <c r="K16" s="3" t="str">
        <f t="shared" si="0"/>
        <v>UPDATE temperature_history SET slave_id = 127, value = value + (-9) WHERE slave_id = 128;</v>
      </c>
      <c r="L16" s="2" t="s">
        <v>96</v>
      </c>
      <c r="M16" s="2" t="s">
        <v>97</v>
      </c>
    </row>
    <row r="17" spans="1:13" s="2" customFormat="1" x14ac:dyDescent="0.25">
      <c r="B17" s="2" t="s">
        <v>98</v>
      </c>
      <c r="C17" s="2" t="s">
        <v>99</v>
      </c>
      <c r="D17" s="2" t="s">
        <v>100</v>
      </c>
      <c r="E17" s="2" t="s">
        <v>101</v>
      </c>
      <c r="F17" s="2">
        <v>10</v>
      </c>
      <c r="G17" s="2">
        <v>-6</v>
      </c>
      <c r="H17" s="2" t="s">
        <v>95</v>
      </c>
      <c r="I17" s="2" t="s">
        <v>102</v>
      </c>
      <c r="J17" s="2">
        <v>11</v>
      </c>
      <c r="K17" s="3" t="str">
        <f>_xlfn.CONCAT("UPDATE temperature_history SET slave_id = ",J17,", value = value + (",G17,") WHERE slave_id = ",F17,"  AND timestamp &gt;= NOW() - INTERVAL '30 days';")</f>
        <v>UPDATE temperature_history SET slave_id = 11, value = value + (-6) WHERE slave_id = 10  AND timestamp &gt;= NOW() - INTERVAL '30 days';</v>
      </c>
      <c r="L17" s="2" t="s">
        <v>104</v>
      </c>
      <c r="M17" s="2" t="s">
        <v>103</v>
      </c>
    </row>
    <row r="18" spans="1:13" s="2" customFormat="1" x14ac:dyDescent="0.25">
      <c r="C18" s="2" t="s">
        <v>108</v>
      </c>
      <c r="D18" s="2" t="s">
        <v>106</v>
      </c>
      <c r="E18" s="2" t="s">
        <v>109</v>
      </c>
      <c r="F18" s="2">
        <v>27</v>
      </c>
      <c r="G18" s="2">
        <v>-4</v>
      </c>
      <c r="H18" s="2" t="s">
        <v>107</v>
      </c>
      <c r="I18" s="2" t="s">
        <v>110</v>
      </c>
      <c r="J18" s="2">
        <v>28</v>
      </c>
      <c r="K18" s="3" t="str">
        <f>_xlfn.CONCAT("UPDATE temperature_history SET slave_id = ",J18,", value = value + (",G18,") WHERE slave_id = ",F18,"  AND timestamp &gt;= NOW() - INTERVAL '90 days';")</f>
        <v>UPDATE temperature_history SET slave_id = 28, value = value + (-4) WHERE slave_id = 27  AND timestamp &gt;= NOW() - INTERVAL '90 days';</v>
      </c>
      <c r="L18" s="2" t="str">
        <f>_xlfn.CONCAT("UPDATE slaves SET name = '",E18,"' WHERE id = ",F18,";")</f>
        <v>UPDATE slaves SET name = 'OLD-T.e.m.p. Co2_Centro_Obstetrico_03 -4' WHERE id = 27;</v>
      </c>
      <c r="M18" s="2" t="str">
        <f>_xlfn.CONCAT("UPDATE slaves SET name = '",I18,"' WHERE id = ",J18,";")</f>
        <v>UPDATE slaves SET name = 'Temp. Co2_Centro_Obstetrico_03' WHERE id = 28;</v>
      </c>
    </row>
    <row r="19" spans="1:13" s="2" customFormat="1" x14ac:dyDescent="0.25">
      <c r="A19"/>
      <c r="C19" s="2" t="s">
        <v>111</v>
      </c>
      <c r="D19" s="2" t="s">
        <v>105</v>
      </c>
      <c r="E19" s="2" t="s">
        <v>112</v>
      </c>
      <c r="F19" s="2">
        <v>8</v>
      </c>
      <c r="G19" s="2">
        <v>-3</v>
      </c>
      <c r="H19" s="2" t="s">
        <v>113</v>
      </c>
      <c r="I19" s="2" t="s">
        <v>114</v>
      </c>
      <c r="J19" s="2">
        <v>10</v>
      </c>
      <c r="K19" s="3" t="str">
        <f>_xlfn.CONCAT("UPDATE temperature_history SET slave_id = ",J19,", value = value + (",G19,") WHERE slave_id = ",F19,"  AND timestamp &gt;= NOW() - INTERVAL '90 days';")</f>
        <v>UPDATE temperature_history SET slave_id = 10, value = value + (-3) WHERE slave_id = 8  AND timestamp &gt;= NOW() - INTERVAL '90 days';</v>
      </c>
      <c r="L19" s="2" t="str">
        <f>_xlfn.CONCAT("UPDATE slaves SET name = '",E19,"' WHERE id = ",F19,";")</f>
        <v>UPDATE slaves SET name = 'OLD-T.e.m.p. Co2_Centro_Obstetrico_02 -3' WHERE id = 8;</v>
      </c>
      <c r="M19" s="2" t="str">
        <f>_xlfn.CONCAT("UPDATE slaves SET name = '",I19,"' WHERE id = ",J19,";")</f>
        <v>UPDATE slaves SET name = 'Temp. Co2_Centro_Obstetrico_02' WHERE id = 10;</v>
      </c>
    </row>
    <row r="20" spans="1:13" s="2" customFormat="1" x14ac:dyDescent="0.25">
      <c r="C20" s="2" t="s">
        <v>116</v>
      </c>
      <c r="D20" s="2" t="s">
        <v>115</v>
      </c>
      <c r="E20" s="2" t="s">
        <v>117</v>
      </c>
      <c r="F20" s="2">
        <v>19</v>
      </c>
      <c r="G20" s="2">
        <v>-4</v>
      </c>
      <c r="H20" s="2" t="s">
        <v>118</v>
      </c>
      <c r="I20" s="2" t="s">
        <v>119</v>
      </c>
      <c r="J20" s="2">
        <v>20</v>
      </c>
      <c r="K20" s="3" t="str">
        <f>_xlfn.CONCAT("UPDATE temperature_history SET slave_id = ",J20,", value = value + (",G20,") WHERE slave_id = ",F20,"  AND timestamp &gt;= NOW() - INTERVAL '90 days';")</f>
        <v>UPDATE temperature_history SET slave_id = 20, value = value + (-4) WHERE slave_id = 19  AND timestamp &gt;= NOW() - INTERVAL '90 days';</v>
      </c>
      <c r="L20" s="2" t="str">
        <f>_xlfn.CONCAT("UPDATE slaves SET name = '",E20,"' WHERE id = ",F20,";")</f>
        <v>UPDATE slaves SET name = 'OLD-T.e.m.p. Co2_Centro_Obstetrico_01 -4' WHERE id = 19;</v>
      </c>
      <c r="M20" s="2" t="str">
        <f>_xlfn.CONCAT("UPDATE slaves SET name = '",I20,"' WHERE id = ",J20,";")</f>
        <v>UPDATE slaves SET name = 'Temp. Co2_Centro_Obstetrico_01' WHERE id = 20;</v>
      </c>
    </row>
  </sheetData>
  <mergeCells count="1">
    <mergeCell ref="H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Lago</dc:creator>
  <cp:lastModifiedBy>Rodrigo Lago</cp:lastModifiedBy>
  <dcterms:created xsi:type="dcterms:W3CDTF">2026-04-01T12:26:17Z</dcterms:created>
  <dcterms:modified xsi:type="dcterms:W3CDTF">2026-04-13T16:43:29Z</dcterms:modified>
</cp:coreProperties>
</file>